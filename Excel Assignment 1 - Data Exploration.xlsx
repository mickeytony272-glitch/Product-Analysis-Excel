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cke\Downloads\"/>
    </mc:Choice>
  </mc:AlternateContent>
  <xr:revisionPtr revIDLastSave="0" documentId="13_ncr:1_{11E9637C-1545-4753-99CC-7BBD2495F30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17" i="1" l="1"/>
  <c r="G4" i="1"/>
  <c r="G2" i="1"/>
  <c r="G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J13" i="1"/>
  <c r="J11" i="1"/>
</calcChain>
</file>

<file path=xl/sharedStrings.xml><?xml version="1.0" encoding="utf-8"?>
<sst xmlns="http://schemas.openxmlformats.org/spreadsheetml/2006/main" count="162" uniqueCount="113">
  <si>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</si>
  <si>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</si>
  <si>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</si>
  <si>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</si>
  <si>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</si>
  <si>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</si>
  <si>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</si>
  <si>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</si>
  <si>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</si>
  <si>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</si>
  <si>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</si>
  <si>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</si>
  <si>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</si>
  <si>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</si>
  <si>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</si>
  <si>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</si>
  <si>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</si>
  <si>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</si>
  <si>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</si>
  <si>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</si>
  <si>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</si>
  <si>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</si>
  <si>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</si>
  <si>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</si>
  <si>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</si>
  <si>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</si>
  <si>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</si>
  <si>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</si>
  <si>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</si>
  <si>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</si>
  <si>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</si>
  <si>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</si>
  <si>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</si>
  <si>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</si>
  <si>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</si>
  <si>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</si>
  <si>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</si>
  <si>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</si>
  <si>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</si>
  <si>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</si>
  <si>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</si>
  <si>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</si>
  <si>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</si>
  <si>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</si>
  <si>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</si>
  <si>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</si>
  <si>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</si>
  <si>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</si>
  <si>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</si>
  <si>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</si>
  <si>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</si>
  <si>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</si>
  <si>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</si>
  <si>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</si>
  <si>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</si>
  <si>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</si>
  <si>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</si>
  <si>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</si>
  <si>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</si>
  <si>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</si>
  <si>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</si>
  <si>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</si>
  <si>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</si>
  <si>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</si>
  <si>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</si>
  <si>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</si>
  <si>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</si>
  <si>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</si>
  <si>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</si>
  <si>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</si>
  <si>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</si>
  <si>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</si>
  <si>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</si>
  <si>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</si>
  <si>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</si>
  <si>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</si>
  <si>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</si>
  <si>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</si>
  <si>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</si>
  <si>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</si>
  <si>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</si>
  <si>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</si>
  <si>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</si>
  <si>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</si>
  <si>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</si>
  <si>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</si>
  <si>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</si>
  <si>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</si>
  <si>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</si>
  <si>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</si>
  <si>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</si>
  <si>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</si>
  <si>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</si>
  <si>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Formula</t>
  </si>
  <si>
    <t>sum()</t>
  </si>
  <si>
    <t xml:space="preserve"> SUM-Total price </t>
  </si>
  <si>
    <t xml:space="preserve">COUNT- Total product </t>
  </si>
  <si>
    <t>COUNTA()</t>
  </si>
  <si>
    <t xml:space="preserve">AVERAGE-PRICE OF PRODUCT </t>
  </si>
  <si>
    <t>Average()</t>
  </si>
  <si>
    <t>MINIMUM</t>
  </si>
  <si>
    <t>MIN()</t>
  </si>
  <si>
    <t>MAXIMUM</t>
  </si>
  <si>
    <t>MAX()</t>
  </si>
  <si>
    <t>Column1</t>
  </si>
  <si>
    <t>Column2</t>
  </si>
  <si>
    <t>Column3</t>
  </si>
  <si>
    <t>IF Function</t>
  </si>
  <si>
    <t xml:space="preserve"> Price Range </t>
  </si>
  <si>
    <t>IF(D5&gt;500,"High","Low")</t>
  </si>
  <si>
    <t xml:space="preserve"> SUMIF</t>
  </si>
  <si>
    <t>Countif</t>
  </si>
  <si>
    <t>SUMIF(Table2[Category],"Electronics",Table2[Price ($)])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</si>
</sst>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_ [$₹-4009]\ * #,##0.00_ ;_ [$₹-4009]\ * \-#,##0.00_ ;_ [$₹-4009]\ * &quot;-&quot;??_ ;_ @_ 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3" fillId="0" borderId="0" xfId="0" applyFont="1"/>
    <xf numFmtId="0" fontId="5" fillId="0" borderId="0" xfId="0" applyFont="1"/>
    <xf numFmtId="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676879-84D6-4C54-A07F-C4B1C1F3A0B5}" name="Table2" displayName="Table2" ref="A1:G35" totalsRowShown="0" headerRowDxfId="2" dataDxfId="3">
  <autoFilter ref="A1:G35" xr:uid="{FC676879-84D6-4C54-A07F-C4B1C1F3A0B5}"/>
  <tableColumns count="7">
    <tableColumn id="1" xr3:uid="{079CD38B-6D5F-4993-B810-CBF7C3C4619B}" name="Product ID" dataDxfId="9"/>
    <tableColumn id="2" xr3:uid="{0675F666-6551-4A0D-A2C4-F87C10EC4C8C}" name="Product Name" dataDxfId="8"/>
    <tableColumn id="3" xr3:uid="{F36B47DF-D162-4ACB-8CEE-20492EDBB0E1}" name="Brand Name" dataDxfId="7"/>
    <tableColumn id="4" xr3:uid="{D1FFA371-CFDA-4BBA-B8F9-C2B660BFE0BC}" name="Price ($)" dataDxfId="6"/>
    <tableColumn id="5" xr3:uid="{A559AA1C-581B-4365-8006-EBEAD3BEBB15}" name="Quantity" dataDxfId="5"/>
    <tableColumn id="6" xr3:uid="{0E2602E4-1CB7-4B11-B372-33FA0ADC99E0}" name="Category" dataDxfId="4"/>
    <tableColumn id="10" xr3:uid="{1E9BC89B-EFB4-4AE3-B7D6-D7A1E196680B}" name=" Price Range " dataDxfId="0">
      <calculatedColumnFormula>IF(D3&gt;500,"High","Low")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B1D838-6122-47E2-9FC9-B24D8ED92E3D}" name="Table4" displayName="Table4" ref="I4:K24" totalsRowShown="0">
  <autoFilter ref="I4:K24" xr:uid="{BFB1D838-6122-47E2-9FC9-B24D8ED92E3D}"/>
  <tableColumns count="3">
    <tableColumn id="1" xr3:uid="{1E38E738-8D87-459D-B27F-9BD5EF31967E}" name="Column1" dataDxfId="1"/>
    <tableColumn id="2" xr3:uid="{32BC3A9D-846A-443D-A107-3A4CFC36A19C}" name="Column2"/>
    <tableColumn id="3" xr3:uid="{2F5B88C4-913A-4684-AAC5-DC239ABB064D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topLeftCell="D1" zoomScale="90" workbookViewId="0">
      <selection activeCell="J19" sqref="J19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9" max="9" width="13.6640625" bestFit="1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108</v>
      </c>
      <c r="H1" s="2"/>
    </row>
    <row r="2" spans="1:11" ht="15.75" customHeight="1" x14ac:dyDescent="0.25">
      <c r="A2" s="3" t="s">
        <v>58</v>
      </c>
      <c r="B2" s="3" t="s">
        <v>59</v>
      </c>
      <c r="C2" s="3" t="s">
        <v>60</v>
      </c>
      <c r="D2" s="3">
        <v>150</v>
      </c>
      <c r="E2" s="3">
        <v>15</v>
      </c>
      <c r="F2" s="3" t="s">
        <v>13</v>
      </c>
      <c r="G2" s="3" t="str">
        <f t="shared" ref="G2:G35" si="0">IF(D3&gt;500,"High","Low")</f>
        <v>Low</v>
      </c>
      <c r="H2" s="3"/>
      <c r="I2" s="6" t="s">
        <v>93</v>
      </c>
    </row>
    <row r="3" spans="1:11" ht="15.75" customHeight="1" x14ac:dyDescent="0.25">
      <c r="A3" s="4" t="s">
        <v>87</v>
      </c>
      <c r="B3" s="4" t="s">
        <v>88</v>
      </c>
      <c r="C3" s="4" t="s">
        <v>89</v>
      </c>
      <c r="D3" s="4">
        <v>50</v>
      </c>
      <c r="E3" s="4">
        <v>50</v>
      </c>
      <c r="F3" s="4" t="s">
        <v>13</v>
      </c>
      <c r="G3" s="4" t="str">
        <f t="shared" si="0"/>
        <v>Low</v>
      </c>
      <c r="H3" s="3"/>
    </row>
    <row r="4" spans="1:11" ht="15.75" customHeight="1" x14ac:dyDescent="0.25">
      <c r="A4" s="4" t="s">
        <v>75</v>
      </c>
      <c r="B4" s="4" t="s">
        <v>59</v>
      </c>
      <c r="C4" s="4" t="s">
        <v>76</v>
      </c>
      <c r="D4" s="4">
        <v>130</v>
      </c>
      <c r="E4" s="4">
        <v>25</v>
      </c>
      <c r="F4" s="4" t="s">
        <v>13</v>
      </c>
      <c r="G4" s="4" t="str">
        <f t="shared" si="0"/>
        <v>Low</v>
      </c>
      <c r="I4" s="7" t="s">
        <v>104</v>
      </c>
      <c r="J4" t="s">
        <v>105</v>
      </c>
      <c r="K4" s="8" t="s">
        <v>106</v>
      </c>
    </row>
    <row r="5" spans="1:11" ht="15.75" customHeight="1" x14ac:dyDescent="0.25">
      <c r="A5" s="3" t="s">
        <v>14</v>
      </c>
      <c r="B5" s="3" t="s">
        <v>15</v>
      </c>
      <c r="C5" s="3" t="s">
        <v>16</v>
      </c>
      <c r="D5" s="3">
        <v>130</v>
      </c>
      <c r="E5" s="3">
        <v>40</v>
      </c>
      <c r="F5" s="3" t="s">
        <v>17</v>
      </c>
      <c r="G5" s="3" t="str">
        <f t="shared" si="0"/>
        <v>Low</v>
      </c>
      <c r="I5" s="7" t="s">
        <v>95</v>
      </c>
      <c r="J5" s="10">
        <v>10100</v>
      </c>
      <c r="K5" s="8" t="s">
        <v>94</v>
      </c>
    </row>
    <row r="6" spans="1:11" ht="15.75" customHeight="1" x14ac:dyDescent="0.25">
      <c r="A6" s="3" t="s">
        <v>34</v>
      </c>
      <c r="B6" s="3" t="s">
        <v>35</v>
      </c>
      <c r="C6" s="3" t="s">
        <v>36</v>
      </c>
      <c r="D6" s="3">
        <v>500</v>
      </c>
      <c r="E6" s="3">
        <v>50</v>
      </c>
      <c r="F6" s="3" t="s">
        <v>9</v>
      </c>
      <c r="G6" s="3" t="str">
        <f t="shared" si="0"/>
        <v>Low</v>
      </c>
      <c r="I6" s="3"/>
    </row>
    <row r="7" spans="1:11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4" t="str">
        <f t="shared" si="0"/>
        <v>Low</v>
      </c>
      <c r="I7" s="7" t="s">
        <v>96</v>
      </c>
      <c r="J7">
        <v>34</v>
      </c>
      <c r="K7" t="s">
        <v>97</v>
      </c>
    </row>
    <row r="8" spans="1:11" ht="15.75" customHeight="1" x14ac:dyDescent="0.25">
      <c r="A8" s="3" t="s">
        <v>79</v>
      </c>
      <c r="B8" s="3" t="s">
        <v>80</v>
      </c>
      <c r="C8" s="3" t="s">
        <v>81</v>
      </c>
      <c r="D8" s="3">
        <v>60</v>
      </c>
      <c r="E8" s="3">
        <v>30</v>
      </c>
      <c r="F8" s="3" t="s">
        <v>13</v>
      </c>
      <c r="G8" s="3" t="str">
        <f t="shared" si="0"/>
        <v>Low</v>
      </c>
      <c r="I8" s="3"/>
    </row>
    <row r="9" spans="1:11" ht="15.75" customHeight="1" x14ac:dyDescent="0.25">
      <c r="A9" s="3" t="s">
        <v>43</v>
      </c>
      <c r="B9" s="3" t="s">
        <v>15</v>
      </c>
      <c r="C9" s="3" t="s">
        <v>44</v>
      </c>
      <c r="D9" s="3">
        <v>120</v>
      </c>
      <c r="E9" s="3">
        <v>35</v>
      </c>
      <c r="F9" s="3" t="s">
        <v>17</v>
      </c>
      <c r="G9" s="3" t="str">
        <f t="shared" si="0"/>
        <v>Low</v>
      </c>
      <c r="I9" s="3" t="s">
        <v>98</v>
      </c>
      <c r="J9" s="9">
        <v>297.05882352941177</v>
      </c>
      <c r="K9" t="s">
        <v>99</v>
      </c>
    </row>
    <row r="10" spans="1:11" ht="15.75" customHeight="1" x14ac:dyDescent="0.25">
      <c r="A10" s="4" t="s">
        <v>67</v>
      </c>
      <c r="B10" s="4" t="s">
        <v>68</v>
      </c>
      <c r="C10" s="4" t="s">
        <v>69</v>
      </c>
      <c r="D10" s="4">
        <v>80</v>
      </c>
      <c r="E10" s="4">
        <v>20</v>
      </c>
      <c r="F10" s="4" t="s">
        <v>17</v>
      </c>
      <c r="G10" s="4" t="str">
        <f t="shared" si="0"/>
        <v>Low</v>
      </c>
      <c r="I10" s="3"/>
    </row>
    <row r="11" spans="1:11" ht="15.75" customHeight="1" x14ac:dyDescent="0.25">
      <c r="A11" s="4" t="s">
        <v>90</v>
      </c>
      <c r="B11" s="4" t="s">
        <v>91</v>
      </c>
      <c r="C11" s="4" t="s">
        <v>92</v>
      </c>
      <c r="D11" s="4">
        <v>100</v>
      </c>
      <c r="E11" s="4">
        <v>20</v>
      </c>
      <c r="F11" s="4" t="s">
        <v>53</v>
      </c>
      <c r="G11" s="4" t="str">
        <f t="shared" si="0"/>
        <v>High</v>
      </c>
      <c r="I11" s="3" t="s">
        <v>100</v>
      </c>
      <c r="J11">
        <f>MIN(Table2[Price ($)])</f>
        <v>30</v>
      </c>
      <c r="K11" t="s">
        <v>101</v>
      </c>
    </row>
    <row r="12" spans="1:11" ht="15.75" customHeight="1" x14ac:dyDescent="0.25">
      <c r="A12" s="4" t="s">
        <v>18</v>
      </c>
      <c r="B12" s="4" t="s">
        <v>19</v>
      </c>
      <c r="C12" s="4" t="s">
        <v>20</v>
      </c>
      <c r="D12" s="4">
        <v>900</v>
      </c>
      <c r="E12" s="4">
        <v>25</v>
      </c>
      <c r="F12" s="4" t="s">
        <v>9</v>
      </c>
      <c r="G12" s="4" t="str">
        <f t="shared" si="0"/>
        <v>Low</v>
      </c>
      <c r="I12" s="3"/>
    </row>
    <row r="13" spans="1:11" ht="15.75" customHeight="1" x14ac:dyDescent="0.25">
      <c r="A13" s="3" t="s">
        <v>77</v>
      </c>
      <c r="B13" s="3" t="s">
        <v>32</v>
      </c>
      <c r="C13" s="3" t="s">
        <v>78</v>
      </c>
      <c r="D13" s="3">
        <v>400</v>
      </c>
      <c r="E13" s="3">
        <v>40</v>
      </c>
      <c r="F13" s="3" t="s">
        <v>17</v>
      </c>
      <c r="G13" s="3" t="str">
        <f t="shared" si="0"/>
        <v>Low</v>
      </c>
      <c r="I13" s="3" t="s">
        <v>102</v>
      </c>
      <c r="J13">
        <f>MAX(Table2[Price ($)])</f>
        <v>1000</v>
      </c>
      <c r="K13" t="s">
        <v>103</v>
      </c>
    </row>
    <row r="14" spans="1:11" ht="15.75" customHeight="1" x14ac:dyDescent="0.25">
      <c r="A14" s="4" t="s">
        <v>82</v>
      </c>
      <c r="B14" s="4" t="s">
        <v>83</v>
      </c>
      <c r="C14" s="4" t="s">
        <v>84</v>
      </c>
      <c r="D14" s="4">
        <v>40</v>
      </c>
      <c r="E14" s="4">
        <v>10</v>
      </c>
      <c r="F14" s="4" t="s">
        <v>17</v>
      </c>
      <c r="G14" s="4" t="str">
        <f t="shared" si="0"/>
        <v>Low</v>
      </c>
      <c r="H14" s="3"/>
      <c r="I14" s="3"/>
    </row>
    <row r="15" spans="1:11" ht="15.75" customHeight="1" x14ac:dyDescent="0.25">
      <c r="A15" s="4" t="s">
        <v>61</v>
      </c>
      <c r="B15" s="4" t="s">
        <v>62</v>
      </c>
      <c r="C15" s="4" t="s">
        <v>63</v>
      </c>
      <c r="D15" s="4">
        <v>200</v>
      </c>
      <c r="E15" s="4">
        <v>10</v>
      </c>
      <c r="F15" s="4" t="s">
        <v>24</v>
      </c>
      <c r="G15" s="4" t="str">
        <f t="shared" si="0"/>
        <v>High</v>
      </c>
      <c r="H15" s="3"/>
      <c r="I15" s="3" t="s">
        <v>107</v>
      </c>
      <c r="K15" t="s">
        <v>109</v>
      </c>
    </row>
    <row r="16" spans="1:11" ht="15.75" customHeight="1" x14ac:dyDescent="0.25">
      <c r="A16" s="3" t="s">
        <v>64</v>
      </c>
      <c r="B16" s="3" t="s">
        <v>65</v>
      </c>
      <c r="C16" s="3" t="s">
        <v>66</v>
      </c>
      <c r="D16" s="3">
        <v>700</v>
      </c>
      <c r="E16" s="3">
        <v>50</v>
      </c>
      <c r="F16" s="3" t="s">
        <v>9</v>
      </c>
      <c r="G16" s="3" t="str">
        <f t="shared" si="0"/>
        <v>Low</v>
      </c>
      <c r="H16" s="3"/>
      <c r="I16" s="3"/>
    </row>
    <row r="17" spans="1:11" ht="15.75" customHeight="1" x14ac:dyDescent="0.25">
      <c r="A17" s="4" t="s">
        <v>37</v>
      </c>
      <c r="B17" s="4" t="s">
        <v>38</v>
      </c>
      <c r="C17" s="4" t="s">
        <v>39</v>
      </c>
      <c r="D17" s="4">
        <v>130</v>
      </c>
      <c r="E17" s="4">
        <v>10</v>
      </c>
      <c r="F17" s="4" t="s">
        <v>24</v>
      </c>
      <c r="G17" s="4" t="str">
        <f t="shared" si="0"/>
        <v>Low</v>
      </c>
      <c r="H17" s="3"/>
      <c r="I17" s="3" t="s">
        <v>110</v>
      </c>
      <c r="J17">
        <f>SUMIF(Table2[Category],"Electronics",Table2[Price ($)])</f>
        <v>8050</v>
      </c>
      <c r="K17" t="s">
        <v>112</v>
      </c>
    </row>
    <row r="18" spans="1:11" ht="15.75" customHeight="1" x14ac:dyDescent="0.25">
      <c r="A18" s="4" t="s">
        <v>10</v>
      </c>
      <c r="B18" s="4" t="s">
        <v>11</v>
      </c>
      <c r="C18" s="4" t="s">
        <v>12</v>
      </c>
      <c r="D18" s="4">
        <v>80</v>
      </c>
      <c r="E18" s="4">
        <v>15</v>
      </c>
      <c r="F18" s="4" t="s">
        <v>13</v>
      </c>
      <c r="G18" s="4" t="str">
        <f t="shared" si="0"/>
        <v>Low</v>
      </c>
      <c r="H18" s="3"/>
      <c r="I18" s="3"/>
    </row>
    <row r="19" spans="1:11" ht="15.75" customHeight="1" x14ac:dyDescent="0.25">
      <c r="A19" s="3" t="s">
        <v>48</v>
      </c>
      <c r="B19" s="3" t="s">
        <v>26</v>
      </c>
      <c r="C19" s="3" t="s">
        <v>49</v>
      </c>
      <c r="D19" s="3">
        <v>250</v>
      </c>
      <c r="E19" s="3">
        <v>20</v>
      </c>
      <c r="F19" s="3" t="s">
        <v>9</v>
      </c>
      <c r="G19" s="3" t="str">
        <f t="shared" si="0"/>
        <v>Low</v>
      </c>
      <c r="H19" s="3"/>
      <c r="I19" s="3" t="s">
        <v>111</v>
      </c>
    </row>
    <row r="20" spans="1:11" ht="15.75" customHeight="1" x14ac:dyDescent="0.25">
      <c r="A20" s="4" t="s">
        <v>48</v>
      </c>
      <c r="B20" s="4" t="s">
        <v>26</v>
      </c>
      <c r="C20" s="4" t="s">
        <v>49</v>
      </c>
      <c r="D20" s="4">
        <v>230</v>
      </c>
      <c r="E20" s="4">
        <v>20</v>
      </c>
      <c r="F20" s="4" t="s">
        <v>9</v>
      </c>
      <c r="G20" s="4" t="str">
        <f t="shared" si="0"/>
        <v>High</v>
      </c>
      <c r="H20" s="3"/>
      <c r="I20" s="3"/>
    </row>
    <row r="21" spans="1:11" ht="15.75" customHeight="1" x14ac:dyDescent="0.25">
      <c r="A21" s="3" t="s">
        <v>40</v>
      </c>
      <c r="B21" s="3" t="s">
        <v>7</v>
      </c>
      <c r="C21" s="3" t="s">
        <v>41</v>
      </c>
      <c r="D21" s="3">
        <v>950</v>
      </c>
      <c r="E21" s="3">
        <v>25</v>
      </c>
      <c r="F21" s="3" t="s">
        <v>9</v>
      </c>
      <c r="G21" s="3" t="str">
        <f t="shared" si="0"/>
        <v>High</v>
      </c>
      <c r="H21" s="3"/>
      <c r="I21" s="3"/>
    </row>
    <row r="22" spans="1:11" ht="15.75" customHeight="1" x14ac:dyDescent="0.25">
      <c r="A22" s="3" t="s">
        <v>40</v>
      </c>
      <c r="B22" s="3" t="s">
        <v>7</v>
      </c>
      <c r="C22" s="3" t="s">
        <v>41</v>
      </c>
      <c r="D22" s="3">
        <v>950</v>
      </c>
      <c r="E22" s="3">
        <v>25</v>
      </c>
      <c r="F22" s="3" t="s">
        <v>9</v>
      </c>
      <c r="G22" s="3" t="str">
        <f t="shared" si="0"/>
        <v>Low</v>
      </c>
      <c r="H22" s="3"/>
      <c r="I22" s="3"/>
    </row>
    <row r="23" spans="1:11" ht="15.75" customHeight="1" x14ac:dyDescent="0.25">
      <c r="A23" s="4" t="s">
        <v>45</v>
      </c>
      <c r="B23" s="4" t="s">
        <v>46</v>
      </c>
      <c r="C23" s="4" t="s">
        <v>47</v>
      </c>
      <c r="D23" s="4">
        <v>150</v>
      </c>
      <c r="E23" s="4">
        <v>15</v>
      </c>
      <c r="F23" s="4" t="s">
        <v>9</v>
      </c>
      <c r="G23" s="4" t="str">
        <f t="shared" si="0"/>
        <v>Low</v>
      </c>
      <c r="H23" s="3"/>
      <c r="I23" s="3"/>
    </row>
    <row r="24" spans="1:11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 t="str">
        <f t="shared" si="0"/>
        <v>Low</v>
      </c>
      <c r="H24" s="3"/>
      <c r="I24" s="3"/>
    </row>
    <row r="25" spans="1:11" ht="15.75" customHeight="1" x14ac:dyDescent="0.25">
      <c r="A25" s="3" t="s">
        <v>28</v>
      </c>
      <c r="B25" s="3" t="s">
        <v>29</v>
      </c>
      <c r="C25" s="3" t="s">
        <v>30</v>
      </c>
      <c r="D25" s="3">
        <v>30</v>
      </c>
      <c r="E25" s="3">
        <v>5</v>
      </c>
      <c r="F25" s="3" t="s">
        <v>13</v>
      </c>
      <c r="G25" s="3" t="str">
        <f t="shared" si="0"/>
        <v>Low</v>
      </c>
      <c r="H25" s="5"/>
    </row>
    <row r="26" spans="1:11" ht="15.75" customHeight="1" x14ac:dyDescent="0.25">
      <c r="A26" s="3" t="s">
        <v>54</v>
      </c>
      <c r="B26" s="3" t="s">
        <v>46</v>
      </c>
      <c r="C26" s="3" t="s">
        <v>55</v>
      </c>
      <c r="D26" s="3">
        <v>160</v>
      </c>
      <c r="E26" s="3">
        <v>15</v>
      </c>
      <c r="F26" s="3" t="s">
        <v>9</v>
      </c>
      <c r="G26" s="3" t="str">
        <f t="shared" si="0"/>
        <v>Low</v>
      </c>
      <c r="H26" s="3"/>
    </row>
    <row r="27" spans="1:11" ht="15.75" customHeight="1" x14ac:dyDescent="0.25">
      <c r="A27" s="4" t="s">
        <v>50</v>
      </c>
      <c r="B27" s="4" t="s">
        <v>51</v>
      </c>
      <c r="C27" s="4" t="s">
        <v>52</v>
      </c>
      <c r="D27" s="4">
        <v>50</v>
      </c>
      <c r="E27" s="4">
        <v>35</v>
      </c>
      <c r="F27" s="4" t="s">
        <v>53</v>
      </c>
      <c r="G27" s="4" t="str">
        <f t="shared" si="0"/>
        <v>Low</v>
      </c>
      <c r="H27" s="3"/>
    </row>
    <row r="28" spans="1:11" ht="15.75" customHeight="1" x14ac:dyDescent="0.25">
      <c r="A28" s="4" t="s">
        <v>50</v>
      </c>
      <c r="B28" s="4" t="s">
        <v>51</v>
      </c>
      <c r="C28" s="4" t="s">
        <v>52</v>
      </c>
      <c r="D28" s="4">
        <v>50</v>
      </c>
      <c r="E28" s="4">
        <v>35</v>
      </c>
      <c r="F28" s="4" t="s">
        <v>53</v>
      </c>
      <c r="G28" s="4" t="str">
        <f t="shared" si="0"/>
        <v>Low</v>
      </c>
      <c r="H28" s="3"/>
    </row>
    <row r="29" spans="1:11" ht="15.75" customHeight="1" x14ac:dyDescent="0.25">
      <c r="A29" s="3" t="s">
        <v>21</v>
      </c>
      <c r="B29" s="3" t="s">
        <v>22</v>
      </c>
      <c r="C29" s="3" t="s">
        <v>23</v>
      </c>
      <c r="D29" s="3">
        <v>70</v>
      </c>
      <c r="E29" s="3">
        <v>20</v>
      </c>
      <c r="F29" s="3" t="s">
        <v>24</v>
      </c>
      <c r="G29" s="3" t="str">
        <f t="shared" si="0"/>
        <v>Low</v>
      </c>
      <c r="H29" s="5"/>
    </row>
    <row r="30" spans="1:11" ht="15.75" customHeight="1" x14ac:dyDescent="0.25">
      <c r="A30" s="4" t="s">
        <v>31</v>
      </c>
      <c r="B30" s="4" t="s">
        <v>32</v>
      </c>
      <c r="C30" s="4" t="s">
        <v>33</v>
      </c>
      <c r="D30" s="4">
        <v>90</v>
      </c>
      <c r="E30" s="4">
        <v>35</v>
      </c>
      <c r="F30" s="4" t="s">
        <v>17</v>
      </c>
      <c r="G30" s="4" t="str">
        <f t="shared" si="0"/>
        <v>Low</v>
      </c>
      <c r="H30" s="3"/>
    </row>
    <row r="31" spans="1:11" ht="15.75" customHeight="1" x14ac:dyDescent="0.25">
      <c r="A31" s="3" t="s">
        <v>85</v>
      </c>
      <c r="B31" s="3" t="s">
        <v>71</v>
      </c>
      <c r="C31" s="3" t="s">
        <v>86</v>
      </c>
      <c r="D31" s="3">
        <v>130</v>
      </c>
      <c r="E31" s="3">
        <v>5</v>
      </c>
      <c r="F31" s="3" t="s">
        <v>9</v>
      </c>
      <c r="G31" s="3" t="str">
        <f t="shared" si="0"/>
        <v>Low</v>
      </c>
      <c r="H31" s="3"/>
    </row>
    <row r="32" spans="1:11" ht="15.75" customHeight="1" x14ac:dyDescent="0.25">
      <c r="A32" s="4" t="s">
        <v>42</v>
      </c>
      <c r="B32" s="4" t="s">
        <v>11</v>
      </c>
      <c r="C32" s="4" t="s">
        <v>30</v>
      </c>
      <c r="D32" s="4">
        <v>90</v>
      </c>
      <c r="E32" s="4">
        <v>40</v>
      </c>
      <c r="F32" s="4" t="s">
        <v>13</v>
      </c>
      <c r="G32" s="4" t="str">
        <f t="shared" si="0"/>
        <v>High</v>
      </c>
      <c r="H32" s="3"/>
    </row>
    <row r="33" spans="1:8" ht="15.75" customHeight="1" x14ac:dyDescent="0.25">
      <c r="A33" s="4" t="s">
        <v>56</v>
      </c>
      <c r="B33" s="4" t="s">
        <v>7</v>
      </c>
      <c r="C33" s="4" t="s">
        <v>57</v>
      </c>
      <c r="D33" s="4">
        <v>980</v>
      </c>
      <c r="E33" s="4">
        <v>10</v>
      </c>
      <c r="F33" s="4" t="s">
        <v>9</v>
      </c>
      <c r="G33" s="4" t="str">
        <f t="shared" si="0"/>
        <v>High</v>
      </c>
      <c r="H33" s="3"/>
    </row>
    <row r="34" spans="1:8" ht="15.75" customHeight="1" x14ac:dyDescent="0.25">
      <c r="A34" s="3" t="s">
        <v>6</v>
      </c>
      <c r="B34" s="3" t="s">
        <v>7</v>
      </c>
      <c r="C34" s="3" t="s">
        <v>8</v>
      </c>
      <c r="D34" s="3">
        <v>1000</v>
      </c>
      <c r="E34" s="3">
        <v>30</v>
      </c>
      <c r="F34" s="3" t="s">
        <v>9</v>
      </c>
      <c r="G34" s="3" t="str">
        <f t="shared" si="0"/>
        <v>High</v>
      </c>
      <c r="H34" s="3"/>
    </row>
    <row r="35" spans="1:8" ht="15.75" customHeight="1" x14ac:dyDescent="0.25">
      <c r="A35" s="3" t="s">
        <v>73</v>
      </c>
      <c r="B35" s="3" t="s">
        <v>19</v>
      </c>
      <c r="C35" s="3" t="s">
        <v>74</v>
      </c>
      <c r="D35" s="3">
        <v>800</v>
      </c>
      <c r="E35" s="3">
        <v>45</v>
      </c>
      <c r="F35" s="3" t="s">
        <v>9</v>
      </c>
      <c r="G35" s="3" t="str">
        <f t="shared" si="0"/>
        <v>Low</v>
      </c>
      <c r="H35" s="3"/>
    </row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F35">
    <sortCondition ref="A1:A35"/>
  </sortState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Mickey tony</cp:lastModifiedBy>
  <dcterms:modified xsi:type="dcterms:W3CDTF">2026-09-24T15:00:56Z</dcterms:modified>
</cp:coreProperties>
</file>