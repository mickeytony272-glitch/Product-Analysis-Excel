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ke\Downloads\"/>
    </mc:Choice>
  </mc:AlternateContent>
  <xr:revisionPtr revIDLastSave="0" documentId="13_ncr:1_{F45F693E-1423-4B9F-9D32-F6FA6EEB4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K4" i="1"/>
  <c r="K7" i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<sst xmlns="http://schemas.openxmlformats.org/spreadsheetml/2006/main" count="161" uniqueCount="112">
  <si>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</si>
  <si>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</si>
  <si>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</si>
  <si>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</si>
  <si>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</si>
  <si>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</si>
  <si>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</si>
  <si>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</si>
  <si>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</si>
  <si>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</si>
  <si>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</si>
  <si>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</si>
  <si>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</si>
  <si>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</si>
  <si>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</si>
  <si>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</si>
  <si>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</si>
  <si>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</si>
  <si>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</si>
  <si>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</si>
  <si>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</si>
  <si>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</si>
  <si>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</si>
  <si>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</si>
  <si>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</si>
  <si>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</si>
  <si>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</si>
  <si>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</si>
  <si>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</si>
  <si>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</si>
  <si>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</si>
  <si>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</si>
  <si>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</si>
  <si>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</si>
  <si>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</si>
  <si>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</si>
  <si>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</si>
  <si>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</si>
  <si>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</si>
  <si>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</si>
  <si>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</si>
  <si>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</si>
  <si>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</si>
  <si>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</si>
  <si>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</si>
  <si>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</si>
  <si>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</si>
  <si>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</si>
  <si>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</si>
  <si>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</si>
  <si>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</si>
  <si>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</si>
  <si>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</si>
  <si>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</si>
  <si>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</si>
  <si>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</si>
  <si>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</si>
  <si>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</si>
  <si>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</si>
  <si>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</si>
  <si>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</si>
  <si>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</si>
  <si>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</si>
  <si>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</si>
  <si>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</si>
  <si>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</si>
  <si>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</si>
  <si>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</si>
  <si>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</si>
  <si>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</si>
  <si>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</si>
  <si>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</si>
  <si>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</si>
  <si>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</si>
  <si>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</si>
  <si>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</si>
  <si>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</si>
  <si>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</si>
  <si>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</si>
  <si>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</si>
  <si>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</si>
  <si>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</si>
  <si>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</si>
  <si>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</si>
  <si>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</si>
  <si>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</si>
  <si>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</si>
  <si>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</si>
  <si>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</si>
  <si>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</si>
  <si>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</si>
  <si>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</si>
  <si>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</si>
  <si>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r>
      <t xml:space="preserve"> </t>
    </r>
    <r>
      <rPr>
        <b/>
        <sz val="10"/>
        <color theme="5" tint="-0.249977111117893"/>
        <rFont val="Arial"/>
        <family val="2"/>
        <scheme val="minor"/>
      </rPr>
      <t>FORMULAS</t>
    </r>
  </si>
  <si>
    <t>SUM</t>
  </si>
  <si>
    <t>SUM(D2:D35)</t>
  </si>
  <si>
    <t>Count</t>
  </si>
  <si>
    <t>Counta(B2:B35)</t>
  </si>
  <si>
    <t xml:space="preserve">Average </t>
  </si>
  <si>
    <t>Average(D:D)</t>
  </si>
  <si>
    <t xml:space="preserve"> Price Range</t>
  </si>
  <si>
    <t>IF(D2:D35&gt;=500,"High","Standard")</t>
  </si>
  <si>
    <t xml:space="preserve">Price Range </t>
  </si>
  <si>
    <t>Column1</t>
  </si>
  <si>
    <t>Column2</t>
  </si>
  <si>
    <t>Sumif</t>
  </si>
  <si>
    <t>SUMIF(F2:F35,"Electronics",D2:D35)</t>
  </si>
  <si>
    <t xml:space="preserve"> CountIF</t>
  </si>
  <si>
    <t>COUNTIF(D2:D35,"&lt;100")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</si>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</sst>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5" tint="-0.249977111117893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horizontal="left" indent="3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5" borderId="0" xfId="0" applyFont="1" applyFill="1"/>
    <xf numFmtId="0" fontId="0" fillId="5" borderId="0" xfId="0" applyFill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1D407-0E77-48E9-8CC0-D3B0BAF3DD12}" name="Table1" displayName="Table1" ref="K1:M11" totalsRowShown="0">
  <autoFilter ref="K1:M11" xr:uid="{F941D407-0E77-48E9-8CC0-D3B0BAF3DD12}"/>
  <tableColumns count="3">
    <tableColumn id="1" xr3:uid="{9379F802-C938-4ABA-8749-E0AB186848D1}" name="Column1" dataDxfId="0"/>
    <tableColumn id="2" xr3:uid="{280C3F8D-110D-4197-83C0-C58E6E0D1327}" name="Column2" dataDxfId="2"/>
    <tableColumn id="3" xr3:uid="{EA27463D-E7A8-4014-BC36-153630B746C7}" name=" FORMULA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="108" workbookViewId="0">
      <selection activeCell="N4" sqref="N4"/>
    </sheetView>
  </sheetViews>
  <sheetFormatPr defaultColWidth="12.6640625" defaultRowHeight="15" customHeight="1" x14ac:dyDescent="0.25"/>
  <cols>
    <col min="2" max="2" width="14.109375" customWidth="1"/>
    <col min="7" max="7" width="10.109375" customWidth="1"/>
    <col min="8" max="8" width="7.109375" customWidth="1"/>
    <col min="9" max="10" width="10.109375" customWidth="1"/>
    <col min="11" max="11" width="12.6640625" style="7"/>
    <col min="12" max="12" width="12.6640625" style="7" customWidth="1"/>
    <col min="13" max="13" width="31.4414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100</v>
      </c>
      <c r="H1" s="1" t="s">
        <v>109</v>
      </c>
      <c r="I1" s="1" t="s">
        <v>110</v>
      </c>
      <c r="J1" s="1" t="s">
        <v>111</v>
      </c>
      <c r="K1" s="2" t="s">
        <v>103</v>
      </c>
      <c r="L1" s="7" t="s">
        <v>104</v>
      </c>
      <c r="M1" s="8" t="s">
        <v>93</v>
      </c>
    </row>
    <row r="2" spans="1:14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 t="str" cm="1">
        <f t="array" ref="G2:G35">IF(D2:D35&gt;=500,"High","Standard")</f>
        <v>High</v>
      </c>
      <c r="H2" s="3" t="str">
        <f>LEFT(A2,2)</f>
        <v>28</v>
      </c>
      <c r="I2" s="3" t="str">
        <f>RIGHT(A2,2)</f>
        <v>US</v>
      </c>
      <c r="J2" s="3" t="str">
        <f>MID(A2,4,3)</f>
        <v>JAN</v>
      </c>
      <c r="K2" s="9">
        <v>10100</v>
      </c>
      <c r="L2" s="6" t="s">
        <v>94</v>
      </c>
      <c r="M2" s="13" t="s">
        <v>95</v>
      </c>
    </row>
    <row r="3" spans="1:14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 t="str">
        <v>Standard</v>
      </c>
      <c r="H3" s="3" t="str">
        <f t="shared" ref="H3:H35" si="0">LEFT(A3,2)</f>
        <v>15</v>
      </c>
      <c r="I3" s="3" t="str">
        <f t="shared" ref="I3:I35" si="1">RIGHT(A3,2)</f>
        <v>US</v>
      </c>
      <c r="J3" s="3" t="str">
        <f t="shared" ref="J3:J35" si="2">MID(A3,4,3)</f>
        <v>FEB</v>
      </c>
      <c r="K3" s="10">
        <v>34</v>
      </c>
      <c r="L3" s="7" t="s">
        <v>96</v>
      </c>
      <c r="M3" s="14" t="s">
        <v>97</v>
      </c>
      <c r="N3" s="5"/>
    </row>
    <row r="4" spans="1:14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 t="str">
        <v>Standard</v>
      </c>
      <c r="H4" s="3" t="str">
        <f t="shared" si="0"/>
        <v>03</v>
      </c>
      <c r="I4" s="3" t="str">
        <f t="shared" si="1"/>
        <v>US</v>
      </c>
      <c r="J4" s="3" t="str">
        <f t="shared" si="2"/>
        <v>MAR</v>
      </c>
      <c r="K4" s="10">
        <f>AVERAGE(D:D)</f>
        <v>297.05882352941177</v>
      </c>
      <c r="L4" s="7" t="s">
        <v>98</v>
      </c>
      <c r="M4" s="14" t="s">
        <v>99</v>
      </c>
    </row>
    <row r="5" spans="1:14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 t="str">
        <v>High</v>
      </c>
      <c r="H5" s="3" t="str">
        <f t="shared" si="0"/>
        <v>11</v>
      </c>
      <c r="I5" s="3" t="str">
        <f t="shared" si="1"/>
        <v>US</v>
      </c>
      <c r="J5" s="3" t="str">
        <f t="shared" si="2"/>
        <v>APR</v>
      </c>
      <c r="K5" s="11"/>
      <c r="L5" s="7" t="s">
        <v>102</v>
      </c>
      <c r="M5" s="14" t="s">
        <v>101</v>
      </c>
    </row>
    <row r="6" spans="1:14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 t="str">
        <v>Standard</v>
      </c>
      <c r="H6" s="3" t="str">
        <f t="shared" si="0"/>
        <v>22</v>
      </c>
      <c r="I6" s="3" t="str">
        <f t="shared" si="1"/>
        <v>US</v>
      </c>
      <c r="J6" s="3" t="str">
        <f t="shared" si="2"/>
        <v>MAY</v>
      </c>
      <c r="K6" s="9">
        <v>8050</v>
      </c>
      <c r="L6" s="7" t="s">
        <v>105</v>
      </c>
      <c r="M6" s="14" t="s">
        <v>106</v>
      </c>
    </row>
    <row r="7" spans="1:14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v>Standard</v>
      </c>
      <c r="H7" s="3" t="str">
        <f t="shared" si="0"/>
        <v>07</v>
      </c>
      <c r="I7" s="3" t="str">
        <f t="shared" si="1"/>
        <v>UK</v>
      </c>
      <c r="J7" s="3" t="str">
        <f t="shared" si="2"/>
        <v>JUN</v>
      </c>
      <c r="K7" s="11">
        <f>COUNTIF(D2:D35,"&lt;100")</f>
        <v>11</v>
      </c>
      <c r="L7" s="7" t="s">
        <v>107</v>
      </c>
      <c r="M7" s="14" t="s">
        <v>108</v>
      </c>
    </row>
    <row r="8" spans="1:14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 t="str">
        <v>Standard</v>
      </c>
      <c r="H8" s="3" t="str">
        <f t="shared" si="0"/>
        <v>19</v>
      </c>
      <c r="I8" s="3" t="str">
        <f t="shared" si="1"/>
        <v>UK</v>
      </c>
      <c r="J8" s="3" t="str">
        <f t="shared" si="2"/>
        <v>JUL</v>
      </c>
      <c r="K8" s="11"/>
    </row>
    <row r="9" spans="1:14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 t="str">
        <v>Standard</v>
      </c>
      <c r="H9" s="3" t="str">
        <f t="shared" si="0"/>
        <v>23</v>
      </c>
      <c r="I9" s="3" t="str">
        <f t="shared" si="1"/>
        <v>UK</v>
      </c>
      <c r="J9" s="3" t="str">
        <f t="shared" si="2"/>
        <v>AUG</v>
      </c>
      <c r="K9" s="11"/>
    </row>
    <row r="10" spans="1:14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 t="str">
        <v>High</v>
      </c>
      <c r="H10" s="3" t="str">
        <f t="shared" si="0"/>
        <v>05</v>
      </c>
      <c r="I10" s="3" t="str">
        <f t="shared" si="1"/>
        <v>UK</v>
      </c>
      <c r="J10" s="3" t="str">
        <f t="shared" si="2"/>
        <v>SEP</v>
      </c>
      <c r="K10" s="11"/>
    </row>
    <row r="11" spans="1:14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 t="str">
        <v>Standard</v>
      </c>
      <c r="H11" s="3" t="str">
        <f t="shared" si="0"/>
        <v>14</v>
      </c>
      <c r="I11" s="3" t="str">
        <f t="shared" si="1"/>
        <v>UK</v>
      </c>
      <c r="J11" s="3" t="str">
        <f t="shared" si="2"/>
        <v>OCT</v>
      </c>
      <c r="K11" s="11"/>
    </row>
    <row r="12" spans="1:14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 t="str">
        <v>High</v>
      </c>
      <c r="H12" s="3" t="str">
        <f t="shared" si="0"/>
        <v>17</v>
      </c>
      <c r="I12" s="3" t="str">
        <f t="shared" si="1"/>
        <v>IN</v>
      </c>
      <c r="J12" s="3" t="str">
        <f t="shared" si="2"/>
        <v>JUN</v>
      </c>
      <c r="K12" s="11"/>
    </row>
    <row r="13" spans="1:14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 t="str">
        <v>Standard</v>
      </c>
      <c r="H13" s="3" t="str">
        <f t="shared" si="0"/>
        <v>25</v>
      </c>
      <c r="I13" s="3" t="str">
        <f t="shared" si="1"/>
        <v>AU</v>
      </c>
      <c r="J13" s="3" t="str">
        <f t="shared" si="2"/>
        <v>NOV</v>
      </c>
      <c r="K13" s="11"/>
    </row>
    <row r="14" spans="1:14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 t="str">
        <v>Standard</v>
      </c>
      <c r="H14" s="3" t="str">
        <f t="shared" si="0"/>
        <v>08</v>
      </c>
      <c r="I14" s="3" t="str">
        <f t="shared" si="1"/>
        <v>DE</v>
      </c>
      <c r="J14" s="3" t="str">
        <f t="shared" si="2"/>
        <v>DEC</v>
      </c>
      <c r="K14" s="11"/>
    </row>
    <row r="15" spans="1:14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 t="str">
        <v>Standard</v>
      </c>
      <c r="H15" s="3" t="str">
        <f t="shared" si="0"/>
        <v>18</v>
      </c>
      <c r="I15" s="3" t="str">
        <f t="shared" si="1"/>
        <v>CA</v>
      </c>
      <c r="J15" s="3" t="str">
        <f t="shared" si="2"/>
        <v>FEB</v>
      </c>
      <c r="K15" s="11"/>
    </row>
    <row r="16" spans="1:14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 t="str">
        <v>Standard</v>
      </c>
      <c r="H16" s="3" t="str">
        <f t="shared" si="0"/>
        <v>16</v>
      </c>
      <c r="I16" s="3" t="str">
        <f t="shared" si="1"/>
        <v>ES</v>
      </c>
      <c r="J16" s="3" t="str">
        <f t="shared" si="2"/>
        <v>APR</v>
      </c>
      <c r="K16" s="11"/>
    </row>
    <row r="17" spans="1:11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 t="str">
        <v>Standard</v>
      </c>
      <c r="H17" s="3" t="str">
        <f t="shared" si="0"/>
        <v>21</v>
      </c>
      <c r="I17" s="3" t="str">
        <f t="shared" si="1"/>
        <v>CA</v>
      </c>
      <c r="J17" s="3" t="str">
        <f t="shared" si="2"/>
        <v>AUG</v>
      </c>
      <c r="K17" s="11"/>
    </row>
    <row r="18" spans="1:11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 t="str">
        <v>Standard</v>
      </c>
      <c r="H18" s="3" t="str">
        <f t="shared" si="0"/>
        <v>20</v>
      </c>
      <c r="I18" s="3" t="str">
        <f t="shared" si="1"/>
        <v>CN</v>
      </c>
      <c r="J18" s="3" t="str">
        <f t="shared" si="2"/>
        <v>AUG</v>
      </c>
      <c r="K18" s="11"/>
    </row>
    <row r="19" spans="1:11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 t="str">
        <v>High</v>
      </c>
      <c r="H19" s="3" t="str">
        <f t="shared" si="0"/>
        <v>27</v>
      </c>
      <c r="I19" s="3" t="str">
        <f t="shared" si="1"/>
        <v>IT</v>
      </c>
      <c r="J19" s="3" t="str">
        <f t="shared" si="2"/>
        <v>JAN</v>
      </c>
      <c r="K19" s="11"/>
    </row>
    <row r="20" spans="1:11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 t="str">
        <v>Standard</v>
      </c>
      <c r="H20" s="3" t="str">
        <f t="shared" si="0"/>
        <v>01</v>
      </c>
      <c r="I20" s="3" t="str">
        <f t="shared" si="1"/>
        <v>UK</v>
      </c>
      <c r="J20" s="3" t="str">
        <f t="shared" si="2"/>
        <v>MAR</v>
      </c>
      <c r="K20" s="11"/>
    </row>
    <row r="21" spans="1:11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 t="str">
        <v>Standard</v>
      </c>
      <c r="H21" s="3" t="str">
        <f t="shared" si="0"/>
        <v>14</v>
      </c>
      <c r="I21" s="3" t="str">
        <f t="shared" si="1"/>
        <v>US</v>
      </c>
      <c r="J21" s="3" t="str">
        <f t="shared" si="2"/>
        <v>AUG</v>
      </c>
      <c r="K21" s="11"/>
    </row>
    <row r="22" spans="1:11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 t="str">
        <v>High</v>
      </c>
      <c r="H22" s="3" t="str">
        <f t="shared" si="0"/>
        <v>14</v>
      </c>
      <c r="I22" s="3" t="str">
        <f t="shared" si="1"/>
        <v>RU</v>
      </c>
      <c r="J22" s="3" t="str">
        <f t="shared" si="2"/>
        <v>MAY</v>
      </c>
      <c r="K22" s="11"/>
    </row>
    <row r="23" spans="1:11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 t="str">
        <v>Standard</v>
      </c>
      <c r="H23" s="3" t="str">
        <f t="shared" si="0"/>
        <v>09</v>
      </c>
      <c r="I23" s="3" t="str">
        <f t="shared" si="1"/>
        <v>CA</v>
      </c>
      <c r="J23" s="3" t="str">
        <f t="shared" si="2"/>
        <v>JAN</v>
      </c>
      <c r="K23" s="11"/>
    </row>
    <row r="24" spans="1:11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 t="str">
        <v>Standard</v>
      </c>
      <c r="H24" s="3" t="str">
        <f t="shared" si="0"/>
        <v>19</v>
      </c>
      <c r="I24" s="3" t="str">
        <f t="shared" si="1"/>
        <v>BR</v>
      </c>
      <c r="J24" s="3" t="str">
        <f t="shared" si="2"/>
        <v>JUL</v>
      </c>
      <c r="K24" s="11"/>
    </row>
    <row r="25" spans="1:11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 t="str">
        <v>Standard</v>
      </c>
      <c r="H25" s="3" t="str">
        <f t="shared" si="0"/>
        <v>21</v>
      </c>
      <c r="I25" s="3" t="str">
        <f t="shared" si="1"/>
        <v>CA</v>
      </c>
      <c r="J25" s="3" t="str">
        <f t="shared" si="2"/>
        <v>AUG</v>
      </c>
      <c r="K25" s="12"/>
    </row>
    <row r="26" spans="1:11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 t="str">
        <v>High</v>
      </c>
      <c r="H26" s="3" t="str">
        <f t="shared" si="0"/>
        <v>29</v>
      </c>
      <c r="I26" s="3" t="str">
        <f t="shared" si="1"/>
        <v>CA</v>
      </c>
      <c r="J26" s="3" t="str">
        <f t="shared" si="2"/>
        <v>SEP</v>
      </c>
      <c r="K26" s="11"/>
    </row>
    <row r="27" spans="1:11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 t="str">
        <v>Standard</v>
      </c>
      <c r="H27" s="3" t="str">
        <f t="shared" si="0"/>
        <v>03</v>
      </c>
      <c r="I27" s="3" t="str">
        <f t="shared" si="1"/>
        <v>CA</v>
      </c>
      <c r="J27" s="3" t="str">
        <f t="shared" si="2"/>
        <v>JUN</v>
      </c>
      <c r="K27" s="11"/>
    </row>
    <row r="28" spans="1:11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 t="str">
        <v>Standard</v>
      </c>
      <c r="H28" s="3" t="str">
        <f t="shared" si="0"/>
        <v>11</v>
      </c>
      <c r="I28" s="3" t="str">
        <f t="shared" si="1"/>
        <v>CA</v>
      </c>
      <c r="J28" s="3" t="str">
        <f t="shared" si="2"/>
        <v>JUL</v>
      </c>
      <c r="K28" s="11"/>
    </row>
    <row r="29" spans="1:11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 t="str">
        <v>Standard</v>
      </c>
      <c r="H29" s="3" t="str">
        <f t="shared" si="0"/>
        <v>16</v>
      </c>
      <c r="I29" s="3" t="str">
        <f t="shared" si="1"/>
        <v>ES</v>
      </c>
      <c r="J29" s="3" t="str">
        <f t="shared" si="2"/>
        <v>APR</v>
      </c>
      <c r="K29" s="12"/>
    </row>
    <row r="30" spans="1:11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 t="str">
        <v>Standard</v>
      </c>
      <c r="H30" s="3" t="str">
        <f t="shared" si="0"/>
        <v>07</v>
      </c>
      <c r="I30" s="3" t="str">
        <f t="shared" si="1"/>
        <v>CA</v>
      </c>
      <c r="J30" s="3" t="str">
        <f t="shared" si="2"/>
        <v>MAR</v>
      </c>
      <c r="K30" s="11"/>
    </row>
    <row r="31" spans="1:11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 t="str">
        <v>Standard</v>
      </c>
      <c r="H31" s="3" t="str">
        <f t="shared" si="0"/>
        <v>13</v>
      </c>
      <c r="I31" s="3" t="str">
        <f t="shared" si="1"/>
        <v>CA</v>
      </c>
      <c r="J31" s="3" t="str">
        <f t="shared" si="2"/>
        <v>APR</v>
      </c>
      <c r="K31" s="11"/>
    </row>
    <row r="32" spans="1:11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 t="str">
        <v>Standard</v>
      </c>
      <c r="H32" s="3" t="str">
        <f t="shared" si="0"/>
        <v>24</v>
      </c>
      <c r="I32" s="3" t="str">
        <f t="shared" si="1"/>
        <v>CA</v>
      </c>
      <c r="J32" s="3" t="str">
        <f t="shared" si="2"/>
        <v>MAY</v>
      </c>
      <c r="K32" s="11"/>
    </row>
    <row r="33" spans="1:11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 t="str">
        <v>Standard</v>
      </c>
      <c r="H33" s="3" t="str">
        <f t="shared" si="0"/>
        <v>02</v>
      </c>
      <c r="I33" s="3" t="str">
        <f t="shared" si="1"/>
        <v>CA</v>
      </c>
      <c r="J33" s="3" t="str">
        <f t="shared" si="2"/>
        <v>DEC</v>
      </c>
      <c r="K33" s="11"/>
    </row>
    <row r="34" spans="1:11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 t="str">
        <v>High</v>
      </c>
      <c r="H34" s="3" t="str">
        <f t="shared" si="0"/>
        <v>17</v>
      </c>
      <c r="I34" s="3" t="str">
        <f t="shared" si="1"/>
        <v>IN</v>
      </c>
      <c r="J34" s="3" t="str">
        <f t="shared" si="2"/>
        <v>JUN</v>
      </c>
      <c r="K34" s="11"/>
    </row>
    <row r="35" spans="1:11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 t="str">
        <v>Standard</v>
      </c>
      <c r="H35" s="3" t="str">
        <f t="shared" si="0"/>
        <v>09</v>
      </c>
      <c r="I35" s="3" t="str">
        <f t="shared" si="1"/>
        <v>FR</v>
      </c>
      <c r="J35" s="3" t="str">
        <f t="shared" si="2"/>
        <v>JUL</v>
      </c>
      <c r="K35" s="11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Mickey tony</cp:lastModifiedBy>
  <dcterms:modified xsi:type="dcterms:W3CDTF">2026-10-15T09:37:42Z</dcterms:modified>
</cp:coreProperties>
</file>